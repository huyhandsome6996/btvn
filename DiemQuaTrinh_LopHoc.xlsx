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Quá Trình" sheetId="1" state="visible" r:id="rId1"/>
  </sheets>
  <definedNames>
    <definedName name="_xlnm.Print_Titles" localSheetId="0">'Điểm Quá Trình'!$4:$4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B8860B"/>
      <sz val="11"/>
    </font>
    <font>
      <name val="Noto Sans CJK SC"/>
      <color rgb="001B2A4A"/>
      <sz val="11"/>
    </font>
    <font>
      <name val="Noto Sans CJK SC"/>
      <b val="1"/>
      <color rgb="00C0607E"/>
      <sz val="11"/>
    </font>
    <font>
      <name val="Noto Sans CJK SC"/>
      <b val="1"/>
      <color rgb="005B2C6F"/>
      <sz val="11"/>
    </font>
    <font>
      <name val="Noto Sans CJK SC"/>
      <b val="1"/>
      <color rgb="001B2A4A"/>
      <sz val="12"/>
    </font>
    <font>
      <name val="Noto Sans CJK SC"/>
      <color rgb="008C8A84"/>
      <sz val="10"/>
    </font>
    <font>
      <name val="Noto Sans CJK SC"/>
      <b val="1"/>
      <color rgb="0037352F"/>
      <sz val="10"/>
    </font>
    <font>
      <name val="Noto Sans CJK SC"/>
      <color rgb="00B8860B"/>
      <sz val="10"/>
    </font>
    <font>
      <name val="Noto Sans CJK SC"/>
      <color rgb="00C0607E"/>
      <sz val="10"/>
    </font>
    <font>
      <name val="Noto Sans CJK SC"/>
      <color rgb="005B2C6F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0607E"/>
      </patternFill>
    </fill>
    <fill>
      <patternFill patternType="solid">
        <fgColor rgb="00FFFFFF"/>
      </patternFill>
    </fill>
    <fill>
      <patternFill patternType="solid">
        <fgColor rgb="00FDE4EC"/>
      </patternFill>
    </fill>
    <fill>
      <patternFill patternType="solid">
        <fgColor rgb="00F7F7F5"/>
      </patternFill>
    </fill>
    <fill>
      <patternFill patternType="solid">
        <fgColor rgb="00FFF2CC"/>
      </patternFill>
    </fill>
    <fill>
      <patternFill patternType="solid">
        <fgColor rgb="00FBD5E3"/>
      </patternFill>
    </fill>
    <fill>
      <patternFill patternType="solid">
        <fgColor rgb="00D6E4F0"/>
      </patternFill>
    </fill>
    <fill>
      <patternFill patternType="solid">
        <fgColor rgb="00F4A8C4"/>
      </patternFill>
    </fill>
    <fill>
      <patternFill patternType="solid">
        <fgColor rgb="00E8D5F5"/>
      </patternFill>
    </fill>
    <fill>
      <patternFill patternType="solid">
        <fgColor rgb="00D7BDE2"/>
      </patternFill>
    </fill>
    <fill>
      <patternFill patternType="solid">
        <fgColor rgb="00F8C8DC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164" fontId="3" fillId="5" borderId="0" applyAlignment="1" pivotButton="0" quotePrefix="0" xfId="0">
      <alignment horizontal="center" vertical="center"/>
    </xf>
    <xf numFmtId="164" fontId="7" fillId="11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9" borderId="2" pivotButton="0" quotePrefix="0" xfId="0"/>
    <xf numFmtId="164" fontId="6" fillId="10" borderId="2" applyAlignment="1" pivotButton="0" quotePrefix="0" xfId="0">
      <alignment horizontal="center" vertical="center"/>
    </xf>
    <xf numFmtId="164" fontId="7" fillId="1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5" customHeight="1"/>
    <row r="2" ht="32" customHeight="1">
      <c r="B2" s="1" t="inlineStr">
        <is>
          <t>BẢNG ĐIỂM QUÁ TRÌNH LỚP HỌC</t>
        </is>
      </c>
    </row>
    <row r="3" ht="8" customHeight="1"/>
    <row r="4" ht="28" customHeight="1">
      <c r="B4" s="2" t="inlineStr">
        <is>
          <t>STT</t>
        </is>
      </c>
      <c r="C4" s="2" t="inlineStr">
        <is>
          <t>Họ và Tên</t>
        </is>
      </c>
      <c r="D4" s="2" t="inlineStr">
        <is>
          <t>Số buổi
vắng</t>
        </is>
      </c>
      <c r="E4" s="2" t="inlineStr">
        <is>
          <t>Điểm cộng
CC</t>
        </is>
      </c>
      <c r="F4" s="2" t="inlineStr">
        <is>
          <t>Điểm cộng
vàng</t>
        </is>
      </c>
      <c r="G4" s="3" t="inlineStr">
        <is>
          <t>Chuyên cần
(CC)</t>
        </is>
      </c>
      <c r="H4" s="3" t="inlineStr">
        <is>
          <t>Kiểm tra 1
(KT1)</t>
        </is>
      </c>
      <c r="I4" s="3" t="inlineStr">
        <is>
          <t>Kiểm tra 2
(KT2)</t>
        </is>
      </c>
      <c r="J4" s="2" t="inlineStr">
        <is>
          <t>Tổng kết
quá trình</t>
        </is>
      </c>
    </row>
    <row r="5" ht="22" customHeight="1">
      <c r="B5" s="4" t="n">
        <v>1</v>
      </c>
      <c r="C5" s="5" t="inlineStr">
        <is>
          <t>Nguyễn Văn An</t>
        </is>
      </c>
      <c r="D5" s="4" t="n">
        <v>0</v>
      </c>
      <c r="E5" s="4" t="n">
        <v>3</v>
      </c>
      <c r="F5" s="4" t="n">
        <v>0</v>
      </c>
      <c r="G5" s="6">
        <f>MIN(10-D5+E5+F5,10)</f>
        <v/>
      </c>
      <c r="H5" s="6">
        <f>7.5+MAX(0,(10-D5+E5+F5)-10)</f>
        <v/>
      </c>
      <c r="I5" s="6">
        <f>6.0+2</f>
        <v/>
      </c>
      <c r="J5" s="7">
        <f>G5*0.2+H5*0.3+I5*0.5</f>
        <v/>
      </c>
    </row>
    <row r="6" ht="22" customHeight="1">
      <c r="B6" s="8" t="n">
        <v>2</v>
      </c>
      <c r="C6" s="9" t="inlineStr">
        <is>
          <t>Trần Thị Bảo</t>
        </is>
      </c>
      <c r="D6" s="8" t="n">
        <v>1</v>
      </c>
      <c r="E6" s="8" t="n">
        <v>5</v>
      </c>
      <c r="F6" s="10" t="n">
        <v>1</v>
      </c>
      <c r="G6" s="11">
        <f>MIN(10-D6+E6+F6,10)</f>
        <v/>
      </c>
      <c r="H6" s="11">
        <f>8.0+MAX(0,(10-D6+E6+F6)-10)</f>
        <v/>
      </c>
      <c r="I6" s="11">
        <f>7.0+2</f>
        <v/>
      </c>
      <c r="J6" s="7">
        <f>G6*0.2+H6*0.3+I6*0.5</f>
        <v/>
      </c>
    </row>
    <row r="7" ht="22" customHeight="1">
      <c r="B7" s="4" t="n">
        <v>3</v>
      </c>
      <c r="C7" s="5" t="inlineStr">
        <is>
          <t>Lê Hoàng Cường</t>
        </is>
      </c>
      <c r="D7" s="4" t="n">
        <v>2</v>
      </c>
      <c r="E7" s="4" t="n">
        <v>2</v>
      </c>
      <c r="F7" s="4" t="n">
        <v>0</v>
      </c>
      <c r="G7" s="6">
        <f>MIN(10-D7+E7+F7,10)</f>
        <v/>
      </c>
      <c r="H7" s="6">
        <f>6.5+MAX(0,(10-D7+E7+F7)-10)</f>
        <v/>
      </c>
      <c r="I7" s="6">
        <f>5.5+2</f>
        <v/>
      </c>
      <c r="J7" s="7">
        <f>G7*0.2+H7*0.3+I7*0.5</f>
        <v/>
      </c>
    </row>
    <row r="8" ht="22" customHeight="1">
      <c r="B8" s="8" t="n">
        <v>4</v>
      </c>
      <c r="C8" s="9" t="inlineStr">
        <is>
          <t>Phạm Minh Đức</t>
        </is>
      </c>
      <c r="D8" s="8" t="n">
        <v>0</v>
      </c>
      <c r="E8" s="8" t="n">
        <v>6</v>
      </c>
      <c r="F8" s="10" t="n">
        <v>1</v>
      </c>
      <c r="G8" s="11">
        <f>MIN(10-D8+E8+F8,10)</f>
        <v/>
      </c>
      <c r="H8" s="11">
        <f>9.0+MAX(0,(10-D8+E8+F8)-10)</f>
        <v/>
      </c>
      <c r="I8" s="11">
        <f>8.0+2</f>
        <v/>
      </c>
      <c r="J8" s="7">
        <f>G8*0.2+H8*0.3+I8*0.5</f>
        <v/>
      </c>
    </row>
    <row r="9" ht="22" customHeight="1">
      <c r="B9" s="4" t="n">
        <v>5</v>
      </c>
      <c r="C9" s="5" t="inlineStr">
        <is>
          <t>Hoàng Thị Emma</t>
        </is>
      </c>
      <c r="D9" s="4" t="n">
        <v>1</v>
      </c>
      <c r="E9" s="4" t="n">
        <v>4</v>
      </c>
      <c r="F9" s="4" t="n">
        <v>0</v>
      </c>
      <c r="G9" s="6">
        <f>MIN(10-D9+E9+F9,10)</f>
        <v/>
      </c>
      <c r="H9" s="6">
        <f>7.0+MAX(0,(10-D9+E9+F9)-10)</f>
        <v/>
      </c>
      <c r="I9" s="6">
        <f>6.5+2</f>
        <v/>
      </c>
      <c r="J9" s="7">
        <f>G9*0.2+H9*0.3+I9*0.5</f>
        <v/>
      </c>
    </row>
    <row r="10" ht="22" customHeight="1">
      <c r="B10" s="8" t="n">
        <v>6</v>
      </c>
      <c r="C10" s="9" t="inlineStr">
        <is>
          <t>Võ Đình Phú</t>
        </is>
      </c>
      <c r="D10" s="8" t="n">
        <v>0</v>
      </c>
      <c r="E10" s="8" t="n">
        <v>8</v>
      </c>
      <c r="F10" s="10" t="n">
        <v>1</v>
      </c>
      <c r="G10" s="11">
        <f>MIN(10-D10+E10+F10,10)</f>
        <v/>
      </c>
      <c r="H10" s="11">
        <f>8.5+MAX(0,(10-D10+E10+F10)-10)</f>
        <v/>
      </c>
      <c r="I10" s="11">
        <f>7.5+2</f>
        <v/>
      </c>
      <c r="J10" s="7">
        <f>G10*0.2+H10*0.3+I10*0.5</f>
        <v/>
      </c>
    </row>
    <row r="11" ht="22" customHeight="1">
      <c r="B11" s="4" t="n">
        <v>7</v>
      </c>
      <c r="C11" s="5" t="inlineStr">
        <is>
          <t>Đặng Quang Huy</t>
        </is>
      </c>
      <c r="D11" s="4" t="n">
        <v>3</v>
      </c>
      <c r="E11" s="4" t="n">
        <v>2</v>
      </c>
      <c r="F11" s="4" t="n">
        <v>0</v>
      </c>
      <c r="G11" s="6">
        <f>MIN(10-D11+E11+F11,10)</f>
        <v/>
      </c>
      <c r="H11" s="6">
        <f>5.0+MAX(0,(10-D11+E11+F11)-10)</f>
        <v/>
      </c>
      <c r="I11" s="6">
        <f>4.5+2</f>
        <v/>
      </c>
      <c r="J11" s="7">
        <f>G11*0.2+H11*0.3+I11*0.5</f>
        <v/>
      </c>
    </row>
    <row r="12" ht="22" customHeight="1">
      <c r="B12" s="8" t="n">
        <v>8</v>
      </c>
      <c r="C12" s="9" t="inlineStr">
        <is>
          <t>Bùi Thị Hạnh</t>
        </is>
      </c>
      <c r="D12" s="8" t="n">
        <v>0</v>
      </c>
      <c r="E12" s="8" t="n">
        <v>7</v>
      </c>
      <c r="F12" s="8" t="n">
        <v>0</v>
      </c>
      <c r="G12" s="11">
        <f>MIN(10-D12+E12+F12,10)</f>
        <v/>
      </c>
      <c r="H12" s="11">
        <f>8.0+MAX(0,(10-D12+E12+F12)-10)</f>
        <v/>
      </c>
      <c r="I12" s="11">
        <f>7.0+2</f>
        <v/>
      </c>
      <c r="J12" s="7">
        <f>G12*0.2+H12*0.3+I12*0.5</f>
        <v/>
      </c>
    </row>
    <row r="13" ht="22" customHeight="1">
      <c r="B13" s="4" t="n">
        <v>9</v>
      </c>
      <c r="C13" s="5" t="inlineStr">
        <is>
          <t>Ngô Văn Kiên</t>
        </is>
      </c>
      <c r="D13" s="4" t="n">
        <v>1</v>
      </c>
      <c r="E13" s="4" t="n">
        <v>4</v>
      </c>
      <c r="F13" s="10" t="n">
        <v>1</v>
      </c>
      <c r="G13" s="6">
        <f>MIN(10-D13+E13+F13,10)</f>
        <v/>
      </c>
      <c r="H13" s="6">
        <f>6.5+MAX(0,(10-D13+E13+F13)-10)</f>
        <v/>
      </c>
      <c r="I13" s="6">
        <f>6.0+2</f>
        <v/>
      </c>
      <c r="J13" s="7">
        <f>G13*0.2+H13*0.3+I13*0.5</f>
        <v/>
      </c>
    </row>
    <row r="14" ht="22" customHeight="1">
      <c r="B14" s="8" t="n">
        <v>10</v>
      </c>
      <c r="C14" s="9" t="inlineStr">
        <is>
          <t>Lý Thị Lan</t>
        </is>
      </c>
      <c r="D14" s="8" t="n">
        <v>0</v>
      </c>
      <c r="E14" s="8" t="n">
        <v>9</v>
      </c>
      <c r="F14" s="10" t="n">
        <v>1</v>
      </c>
      <c r="G14" s="11">
        <f>MIN(10-D14+E14+F14,10)</f>
        <v/>
      </c>
      <c r="H14" s="11">
        <f>9.5+MAX(0,(10-D14+E14+F14)-10)</f>
        <v/>
      </c>
      <c r="I14" s="11">
        <f>8.5+2</f>
        <v/>
      </c>
      <c r="J14" s="7">
        <f>G14*0.2+H14*0.3+I14*0.5</f>
        <v/>
      </c>
    </row>
    <row r="15" ht="22" customHeight="1">
      <c r="B15" s="4" t="n">
        <v>11</v>
      </c>
      <c r="C15" s="5" t="inlineStr">
        <is>
          <t>Trương Hoàng Minh</t>
        </is>
      </c>
      <c r="D15" s="4" t="n">
        <v>2</v>
      </c>
      <c r="E15" s="4" t="n">
        <v>3</v>
      </c>
      <c r="F15" s="4" t="n">
        <v>0</v>
      </c>
      <c r="G15" s="6">
        <f>MIN(10-D15+E15+F15,10)</f>
        <v/>
      </c>
      <c r="H15" s="6">
        <f>7.0+MAX(0,(10-D15+E15+F15)-10)</f>
        <v/>
      </c>
      <c r="I15" s="6">
        <f>6.0+2</f>
        <v/>
      </c>
      <c r="J15" s="7">
        <f>G15*0.2+H15*0.3+I15*0.5</f>
        <v/>
      </c>
    </row>
    <row r="16" ht="22" customHeight="1">
      <c r="B16" s="8" t="n">
        <v>12</v>
      </c>
      <c r="C16" s="9" t="inlineStr">
        <is>
          <t>Phan Thị Ngọc</t>
        </is>
      </c>
      <c r="D16" s="8" t="n">
        <v>0</v>
      </c>
      <c r="E16" s="8" t="n">
        <v>5</v>
      </c>
      <c r="F16" s="8" t="n">
        <v>0</v>
      </c>
      <c r="G16" s="11">
        <f>MIN(10-D16+E16+F16,10)</f>
        <v/>
      </c>
      <c r="H16" s="11">
        <f>7.5+MAX(0,(10-D16+E16+F16)-10)</f>
        <v/>
      </c>
      <c r="I16" s="11">
        <f>7.0+2</f>
        <v/>
      </c>
      <c r="J16" s="7">
        <f>G16*0.2+H16*0.3+I16*0.5</f>
        <v/>
      </c>
    </row>
    <row r="17" ht="22" customHeight="1">
      <c r="B17" s="4" t="n">
        <v>13</v>
      </c>
      <c r="C17" s="5" t="inlineStr">
        <is>
          <t>Dương Văn Phúc</t>
        </is>
      </c>
      <c r="D17" s="4" t="n">
        <v>1</v>
      </c>
      <c r="E17" s="4" t="n">
        <v>6</v>
      </c>
      <c r="F17" s="10" t="n">
        <v>1</v>
      </c>
      <c r="G17" s="6">
        <f>MIN(10-D17+E17+F17,10)</f>
        <v/>
      </c>
      <c r="H17" s="6">
        <f>8.0+MAX(0,(10-D17+E17+F17)-10)</f>
        <v/>
      </c>
      <c r="I17" s="6">
        <f>7.5+2</f>
        <v/>
      </c>
      <c r="J17" s="7">
        <f>G17*0.2+H17*0.3+I17*0.5</f>
        <v/>
      </c>
    </row>
    <row r="18" ht="22" customHeight="1">
      <c r="B18" s="8" t="n">
        <v>14</v>
      </c>
      <c r="C18" s="9" t="inlineStr">
        <is>
          <t>Mai Thị Quyên</t>
        </is>
      </c>
      <c r="D18" s="8" t="n">
        <v>0</v>
      </c>
      <c r="E18" s="8" t="n">
        <v>3</v>
      </c>
      <c r="F18" s="8" t="n">
        <v>0</v>
      </c>
      <c r="G18" s="11">
        <f>MIN(10-D18+E18+F18,10)</f>
        <v/>
      </c>
      <c r="H18" s="11">
        <f>6.0+MAX(0,(10-D18+E18+F18)-10)</f>
        <v/>
      </c>
      <c r="I18" s="11">
        <f>5.5+2</f>
        <v/>
      </c>
      <c r="J18" s="7">
        <f>G18*0.2+H18*0.3+I18*0.5</f>
        <v/>
      </c>
    </row>
    <row r="19" ht="22" customHeight="1">
      <c r="B19" s="4" t="n">
        <v>15</v>
      </c>
      <c r="C19" s="5" t="inlineStr">
        <is>
          <t>Đỗ Văn Sơn</t>
        </is>
      </c>
      <c r="D19" s="4" t="n">
        <v>2</v>
      </c>
      <c r="E19" s="4" t="n">
        <v>1</v>
      </c>
      <c r="F19" s="4" t="n">
        <v>0</v>
      </c>
      <c r="G19" s="6">
        <f>MIN(10-D19+E19+F19,10)</f>
        <v/>
      </c>
      <c r="H19" s="6">
        <f>5.5+MAX(0,(10-D19+E19+F19)-10)</f>
        <v/>
      </c>
      <c r="I19" s="6">
        <f>5.0+2</f>
        <v/>
      </c>
      <c r="J19" s="7">
        <f>G19*0.2+H19*0.3+I19*0.5</f>
        <v/>
      </c>
    </row>
    <row r="20" ht="22" customHeight="1">
      <c r="B20" s="8" t="n">
        <v>16</v>
      </c>
      <c r="C20" s="9" t="inlineStr">
        <is>
          <t>Hồ Thị Thảo</t>
        </is>
      </c>
      <c r="D20" s="8" t="n">
        <v>0</v>
      </c>
      <c r="E20" s="8" t="n">
        <v>10</v>
      </c>
      <c r="F20" s="10" t="n">
        <v>1</v>
      </c>
      <c r="G20" s="11">
        <f>MIN(10-D20+E20+F20,10)</f>
        <v/>
      </c>
      <c r="H20" s="11">
        <f>9.0+MAX(0,(10-D20+E20+F20)-10)</f>
        <v/>
      </c>
      <c r="I20" s="11">
        <f>8.0+2</f>
        <v/>
      </c>
      <c r="J20" s="7">
        <f>G20*0.2+H20*0.3+I20*0.5</f>
        <v/>
      </c>
    </row>
    <row r="21" ht="22" customHeight="1">
      <c r="B21" s="4" t="n">
        <v>17</v>
      </c>
      <c r="C21" s="5" t="inlineStr">
        <is>
          <t>Lưu Văn Tường</t>
        </is>
      </c>
      <c r="D21" s="4" t="n">
        <v>1</v>
      </c>
      <c r="E21" s="4" t="n">
        <v>4</v>
      </c>
      <c r="F21" s="4" t="n">
        <v>0</v>
      </c>
      <c r="G21" s="6">
        <f>MIN(10-D21+E21+F21,10)</f>
        <v/>
      </c>
      <c r="H21" s="6">
        <f>7.0+MAX(0,(10-D21+E21+F21)-10)</f>
        <v/>
      </c>
      <c r="I21" s="6">
        <f>6.5+2</f>
        <v/>
      </c>
      <c r="J21" s="7">
        <f>G21*0.2+H21*0.3+I21*0.5</f>
        <v/>
      </c>
    </row>
    <row r="22" ht="22" customHeight="1">
      <c r="B22" s="8" t="n">
        <v>18</v>
      </c>
      <c r="C22" s="9" t="inlineStr">
        <is>
          <t>Cao Thị Uyên</t>
        </is>
      </c>
      <c r="D22" s="8" t="n">
        <v>0</v>
      </c>
      <c r="E22" s="8" t="n">
        <v>5</v>
      </c>
      <c r="F22" s="8" t="n">
        <v>0</v>
      </c>
      <c r="G22" s="11">
        <f>MIN(10-D22+E22+F22,10)</f>
        <v/>
      </c>
      <c r="H22" s="11">
        <f>8.5+MAX(0,(10-D22+E22+F22)-10)</f>
        <v/>
      </c>
      <c r="I22" s="11">
        <f>7.5+2</f>
        <v/>
      </c>
      <c r="J22" s="7">
        <f>G22*0.2+H22*0.3+I22*0.5</f>
        <v/>
      </c>
    </row>
    <row r="23" ht="22" customHeight="1">
      <c r="B23" s="4" t="n">
        <v>19</v>
      </c>
      <c r="C23" s="5" t="inlineStr">
        <is>
          <t>Tạ Văn Việt</t>
        </is>
      </c>
      <c r="D23" s="4" t="n">
        <v>3</v>
      </c>
      <c r="E23" s="4" t="n">
        <v>1</v>
      </c>
      <c r="F23" s="4" t="n">
        <v>0</v>
      </c>
      <c r="G23" s="6">
        <f>MIN(10-D23+E23+F23,10)</f>
        <v/>
      </c>
      <c r="H23" s="6">
        <f>4.5+MAX(0,(10-D23+E23+F23)-10)</f>
        <v/>
      </c>
      <c r="I23" s="6">
        <f>4.0+2</f>
        <v/>
      </c>
      <c r="J23" s="7">
        <f>G23*0.2+H23*0.3+I23*0.5</f>
        <v/>
      </c>
    </row>
    <row r="24" ht="22" customHeight="1">
      <c r="B24" s="8" t="n">
        <v>20</v>
      </c>
      <c r="C24" s="9" t="inlineStr">
        <is>
          <t>Nguyễn Thị Xuân</t>
        </is>
      </c>
      <c r="D24" s="8" t="n">
        <v>0</v>
      </c>
      <c r="E24" s="8" t="n">
        <v>7</v>
      </c>
      <c r="F24" s="10" t="n">
        <v>1</v>
      </c>
      <c r="G24" s="11">
        <f>MIN(10-D24+E24+F24,10)</f>
        <v/>
      </c>
      <c r="H24" s="11">
        <f>8.0+MAX(0,(10-D24+E24+F24)-10)</f>
        <v/>
      </c>
      <c r="I24" s="11">
        <f>7.0+2</f>
        <v/>
      </c>
      <c r="J24" s="7">
        <f>G24*0.2+H24*0.3+I24*0.5</f>
        <v/>
      </c>
    </row>
    <row r="25" ht="26" customHeight="1">
      <c r="B25" s="12" t="inlineStr">
        <is>
          <t>Tổng / TB</t>
        </is>
      </c>
      <c r="C25" s="13" t="n"/>
      <c r="D25" s="12">
        <f>SUM(D5:D24)</f>
        <v/>
      </c>
      <c r="E25" s="12">
        <f>SUM(E5:E24)</f>
        <v/>
      </c>
      <c r="F25" s="12">
        <f>SUM(F5:F24)</f>
        <v/>
      </c>
      <c r="G25" s="14">
        <f>AVERAGE(G5:G24)</f>
        <v/>
      </c>
      <c r="H25" s="14">
        <f>AVERAGE(H5:H24)</f>
        <v/>
      </c>
      <c r="I25" s="14">
        <f>AVERAGE(I5:I24)</f>
        <v/>
      </c>
      <c r="J25" s="15">
        <f>AVERAGE(J5:J24)</f>
        <v/>
      </c>
    </row>
    <row r="27">
      <c r="B27" s="16" t="inlineStr">
        <is>
          <t>CHÚ THÍCH CÁCH TÍNH ĐIỂM</t>
        </is>
      </c>
    </row>
    <row r="28" ht="20" customHeight="1">
      <c r="B28" s="17" t="inlineStr">
        <is>
          <t>1. Chuyên cần (CC) = 10 - Số buổi vắng + Điểm cộng CC + Điểm cộng vàng (tối đa = 10)</t>
        </is>
      </c>
    </row>
    <row r="29" ht="20" customHeight="1">
      <c r="B29" s="17" t="inlineStr">
        <is>
          <t>2. Nếu CC &gt; 10 → CC cuối = 10, phần dôi ra tự động cộng vào Kiểm tra 1 (KT1)</t>
        </is>
      </c>
    </row>
    <row r="30" ht="20" customHeight="1">
      <c r="B30" s="17" t="inlineStr">
        <is>
          <t>3. Kiểm tra 2 (KT2) = Điểm KT2 gốc + 2 điểm (cô cộng mỗi bạn 2 điểm)</t>
        </is>
      </c>
    </row>
    <row r="31" ht="20" customHeight="1">
      <c r="B31" s="17" t="inlineStr">
        <is>
          <t>4. Ô màu VÀNG = Điểm cộng cho bạn làm nhanh nhất và đúng nhất</t>
        </is>
      </c>
    </row>
    <row r="32" ht="20" customHeight="1">
      <c r="B32" s="17" t="inlineStr">
        <is>
          <t>5. 3 cột MÀU HỒNG = 3 cột điểm cuối cùng: Chuyên cần, Kiểm tra 1, Kiểm tra 2</t>
        </is>
      </c>
    </row>
    <row r="33" ht="20" customHeight="1">
      <c r="B33" s="17" t="inlineStr">
        <is>
          <t>6. Tổng kết quá trình = CC × 20% + KT1 × 30% + KT2 × 50%</t>
        </is>
      </c>
    </row>
    <row r="35">
      <c r="B35" s="18" t="inlineStr">
        <is>
          <t>Mẫu màu:</t>
        </is>
      </c>
      <c r="D35" s="19" t="inlineStr">
        <is>
          <t>Vàng</t>
        </is>
      </c>
      <c r="E35" s="20" t="inlineStr">
        <is>
          <t>Hồng</t>
        </is>
      </c>
      <c r="F35" s="21" t="inlineStr">
        <is>
          <t>Tím</t>
        </is>
      </c>
    </row>
  </sheetData>
  <mergeCells count="8">
    <mergeCell ref="B29:J29"/>
    <mergeCell ref="B33:J33"/>
    <mergeCell ref="B28:J28"/>
    <mergeCell ref="B2:I2"/>
    <mergeCell ref="B32:J32"/>
    <mergeCell ref="B31:J31"/>
    <mergeCell ref="B27:F27"/>
    <mergeCell ref="B30:J30"/>
  </mergeCells>
  <conditionalFormatting sqref="J5:J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24">
    <cfRule type="cellIs" priority="2" operator="greaterThanOrEqual" dxfId="0">
      <formula>2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2026-06-08T07:04:23Z</dcterms:created>
  <dcterms:modified xmlns:dcterms="http://purl.org/dc/terms/" xmlns:xsi="http://www.w3.org/2001/XMLSchema-instance" xsi:type="dcterms:W3CDTF">2026-06-08T07:04:23Z</dcterms:modified>
</cp:coreProperties>
</file>